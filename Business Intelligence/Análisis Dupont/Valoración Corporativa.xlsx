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Ingenieria\Semestre 10\Juego de negocios\"/>
    </mc:Choice>
  </mc:AlternateContent>
  <xr:revisionPtr revIDLastSave="0" documentId="13_ncr:1_{2C572833-5329-4241-9A67-0C331AE99B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E4" i="1"/>
  <c r="E19" i="1"/>
  <c r="E25" i="1"/>
  <c r="F16" i="1"/>
  <c r="J11" i="1"/>
  <c r="I11" i="1"/>
  <c r="H11" i="1"/>
  <c r="F11" i="1"/>
  <c r="F13" i="1"/>
  <c r="E16" i="1"/>
  <c r="G15" i="1"/>
  <c r="H15" i="1" s="1"/>
  <c r="I15" i="1" s="1"/>
  <c r="J15" i="1" s="1"/>
  <c r="F15" i="1"/>
  <c r="I14" i="1"/>
  <c r="J14" i="1"/>
  <c r="H14" i="1"/>
  <c r="G14" i="1"/>
  <c r="F14" i="1"/>
  <c r="I3" i="1"/>
  <c r="H3" i="1"/>
  <c r="F3" i="1"/>
  <c r="G3" i="1"/>
  <c r="E3" i="1"/>
  <c r="B7" i="1"/>
  <c r="E18" i="1" s="1"/>
  <c r="E17" i="1" l="1"/>
  <c r="G13" i="1"/>
  <c r="H13" i="1" l="1"/>
  <c r="G16" i="1"/>
  <c r="I13" i="1" l="1"/>
  <c r="H16" i="1"/>
  <c r="J13" i="1" l="1"/>
  <c r="J16" i="1" s="1"/>
  <c r="I16" i="1"/>
  <c r="E22" i="1" l="1"/>
  <c r="E23" i="1"/>
  <c r="E24" i="1" l="1"/>
  <c r="E26" i="1"/>
</calcChain>
</file>

<file path=xl/sharedStrings.xml><?xml version="1.0" encoding="utf-8"?>
<sst xmlns="http://schemas.openxmlformats.org/spreadsheetml/2006/main" count="27" uniqueCount="25">
  <si>
    <t>Ke</t>
  </si>
  <si>
    <t>Deuda</t>
  </si>
  <si>
    <t>TASA WACC (p13)</t>
  </si>
  <si>
    <t>Patrimonio</t>
  </si>
  <si>
    <t>Kd</t>
  </si>
  <si>
    <t>T</t>
  </si>
  <si>
    <t>WACC</t>
  </si>
  <si>
    <t>Crecimiento</t>
  </si>
  <si>
    <t>Media</t>
  </si>
  <si>
    <t>Amortizaciones (por intereses/comisión)</t>
  </si>
  <si>
    <t>Depreciaciones</t>
  </si>
  <si>
    <t>Utilidad neta</t>
  </si>
  <si>
    <t>Tasa de crecimiento</t>
  </si>
  <si>
    <t>FCL no financiero</t>
  </si>
  <si>
    <t>Flujos de caja para valorización de la compañía a 5 periodos (14-18)</t>
  </si>
  <si>
    <t>Item</t>
  </si>
  <si>
    <t>VAFCL</t>
  </si>
  <si>
    <t>Valor empresa perpétua</t>
  </si>
  <si>
    <t>Valor presente perpetuidad</t>
  </si>
  <si>
    <t>Valor actual flujo de efectivo (VAFCL)</t>
  </si>
  <si>
    <t>Valor perpetuo</t>
  </si>
  <si>
    <t>Valor económico de la empresa</t>
  </si>
  <si>
    <t>Deuda financiera</t>
  </si>
  <si>
    <t>Valor económico del patrimonio</t>
  </si>
  <si>
    <t>Último periodo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</si>
</sst>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-* #,##0.00\ [$€-C0A]_-;\-* #,##0.00\ [$€-C0A]_-;_-* &quot;-&quot;??\ [$€-C0A]_-;_-@_-"/>
    <numFmt numFmtId="165" formatCode="_-* #,##0\ [$€-C0A]_-;\-* #,##0\ [$€-C0A]_-;_-* &quot;-&quot;??\ [$€-C0A]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color rgb="FF3E556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42" fontId="0" fillId="0" borderId="3" xfId="2" applyFont="1" applyBorder="1"/>
    <xf numFmtId="10" fontId="0" fillId="0" borderId="3" xfId="0" applyNumberFormat="1" applyBorder="1"/>
    <xf numFmtId="10" fontId="0" fillId="0" borderId="3" xfId="3" applyNumberFormat="1" applyFont="1" applyBorder="1"/>
    <xf numFmtId="9" fontId="0" fillId="0" borderId="3" xfId="0" applyNumberFormat="1" applyBorder="1"/>
    <xf numFmtId="10" fontId="0" fillId="0" borderId="4" xfId="3" applyNumberFormat="1" applyFont="1" applyBorder="1"/>
    <xf numFmtId="10" fontId="0" fillId="0" borderId="1" xfId="3" applyNumberFormat="1" applyFont="1" applyBorder="1"/>
    <xf numFmtId="3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164" fontId="0" fillId="0" borderId="3" xfId="0" applyNumberFormat="1" applyBorder="1"/>
    <xf numFmtId="164" fontId="0" fillId="0" borderId="9" xfId="0" applyNumberFormat="1" applyBorder="1"/>
    <xf numFmtId="164" fontId="2" fillId="2" borderId="3" xfId="0" applyNumberFormat="1" applyFont="1" applyFill="1" applyBorder="1" applyAlignment="1">
      <alignment horizontal="left"/>
    </xf>
    <xf numFmtId="164" fontId="2" fillId="2" borderId="3" xfId="0" applyNumberFormat="1" applyFont="1" applyFill="1" applyBorder="1" applyAlignment="1">
      <alignment horizontal="left" wrapText="1"/>
    </xf>
    <xf numFmtId="164" fontId="2" fillId="2" borderId="4" xfId="0" applyNumberFormat="1" applyFont="1" applyFill="1" applyBorder="1" applyAlignment="1">
      <alignment horizontal="left"/>
    </xf>
    <xf numFmtId="10" fontId="0" fillId="0" borderId="6" xfId="3" applyNumberFormat="1" applyFont="1" applyBorder="1"/>
    <xf numFmtId="164" fontId="2" fillId="2" borderId="2" xfId="0" applyNumberFormat="1" applyFont="1" applyFill="1" applyBorder="1" applyAlignment="1">
      <alignment horizontal="left"/>
    </xf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4" fontId="2" fillId="2" borderId="7" xfId="0" applyNumberFormat="1" applyFont="1" applyFill="1" applyBorder="1" applyAlignment="1">
      <alignment horizontal="left"/>
    </xf>
    <xf numFmtId="164" fontId="2" fillId="2" borderId="8" xfId="0" applyNumberFormat="1" applyFont="1" applyFill="1" applyBorder="1" applyAlignment="1">
      <alignment horizontal="left"/>
    </xf>
    <xf numFmtId="164" fontId="2" fillId="3" borderId="5" xfId="0" applyNumberFormat="1" applyFont="1" applyFill="1" applyBorder="1" applyAlignment="1">
      <alignment horizontal="left"/>
    </xf>
    <xf numFmtId="165" fontId="3" fillId="3" borderId="1" xfId="0" applyNumberFormat="1" applyFont="1" applyFill="1" applyBorder="1"/>
    <xf numFmtId="10" fontId="0" fillId="0" borderId="0" xfId="3" applyNumberFormat="1" applyFont="1" applyBorder="1"/>
    <xf numFmtId="10" fontId="0" fillId="0" borderId="11" xfId="3" applyNumberFormat="1" applyFont="1" applyBorder="1"/>
    <xf numFmtId="10" fontId="0" fillId="0" borderId="12" xfId="3" applyNumberFormat="1" applyFont="1" applyBorder="1"/>
    <xf numFmtId="0" fontId="2" fillId="4" borderId="3" xfId="0" applyFont="1" applyFill="1" applyBorder="1"/>
    <xf numFmtId="0" fontId="2" fillId="3" borderId="1" xfId="0" applyFont="1" applyFill="1" applyBorder="1"/>
    <xf numFmtId="10" fontId="3" fillId="3" borderId="1" xfId="3" applyNumberFormat="1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/>
    <xf numFmtId="164" fontId="2" fillId="2" borderId="4" xfId="0" applyNumberFormat="1" applyFont="1" applyFill="1" applyBorder="1"/>
    <xf numFmtId="41" fontId="3" fillId="3" borderId="13" xfId="1" applyFont="1" applyFill="1" applyBorder="1"/>
    <xf numFmtId="41" fontId="3" fillId="3" borderId="1" xfId="1" applyFont="1" applyFill="1" applyBorder="1"/>
    <xf numFmtId="41" fontId="3" fillId="3" borderId="6" xfId="1" applyFont="1" applyFill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1" fontId="3" fillId="0" borderId="4" xfId="1" applyFont="1" applyBorder="1"/>
    <xf numFmtId="41" fontId="3" fillId="0" borderId="1" xfId="1" applyFont="1" applyBorder="1"/>
    <xf numFmtId="164" fontId="3" fillId="0" borderId="10" xfId="0" applyNumberFormat="1" applyFont="1" applyBorder="1"/>
    <xf numFmtId="164" fontId="3" fillId="0" borderId="5" xfId="0" applyNumberFormat="1" applyFont="1" applyBorder="1"/>
    <xf numFmtId="3" fontId="5" fillId="5" borderId="14" xfId="0" applyNumberFormat="1" applyFont="1" applyFill="1" applyBorder="1" applyAlignment="1">
      <alignment horizontal="right" vertical="center" wrapText="1"/>
    </xf>
    <xf numFmtId="42" fontId="0" fillId="0" borderId="0" xfId="2" applyFont="1"/>
    <xf numFmtId="42" fontId="0" fillId="0" borderId="0" xfId="0" applyNumberFormat="1"/>
    <xf numFmtId="9" fontId="0" fillId="0" borderId="3" xfId="3" applyNumberFormat="1" applyFont="1" applyBorder="1"/>
    <xf numFmtId="165" fontId="0" fillId="0" borderId="0" xfId="0" applyNumberFormat="1"/>
    <xf numFmtId="165" fontId="4" fillId="3" borderId="5" xfId="0" applyNumberFormat="1" applyFont="1" applyFill="1" applyBorder="1"/>
  </cellXfs>
  <cellStyles count="4">
    <cellStyle name="Millares [0]" xfId="1" builtinId="6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showGridLines="0" tabSelected="1" zoomScale="104" workbookViewId="0">
      <selection activeCell="E6" sqref="E6"/>
    </sheetView>
  </sheetViews>
  <sheetFormatPr baseColWidth="10" defaultColWidth="8.88671875" defaultRowHeight="14.4" x14ac:dyDescent="0.3"/>
  <cols>
    <col min="1" max="1" width="28.5546875" customWidth="1"/>
    <col min="2" max="2" width="13.88671875" customWidth="1"/>
    <col min="4" max="4" width="34.21875" bestFit="1" customWidth="1"/>
    <col min="5" max="5" width="18.77734375" bestFit="1" customWidth="1"/>
    <col min="6" max="10" width="17.21875" customWidth="1"/>
  </cols>
  <sheetData>
    <row r="1" spans="1:11" ht="15" thickBot="1" x14ac:dyDescent="0.35">
      <c r="A1" s="30" t="s">
        <v>2</v>
      </c>
      <c r="B1" s="31"/>
      <c r="D1" s="8"/>
      <c r="E1" s="39">
        <v>13</v>
      </c>
      <c r="F1" s="40">
        <v>12</v>
      </c>
      <c r="G1" s="40">
        <v>11</v>
      </c>
      <c r="H1" s="40">
        <v>10</v>
      </c>
      <c r="I1" s="41">
        <v>9</v>
      </c>
      <c r="J1" s="40">
        <v>8</v>
      </c>
    </row>
    <row r="2" spans="1:11" ht="15" thickBot="1" x14ac:dyDescent="0.35">
      <c r="A2" s="27" t="s">
        <v>1</v>
      </c>
      <c r="B2" s="1">
        <v>18930856</v>
      </c>
      <c r="D2" s="37" t="s">
        <v>3</v>
      </c>
      <c r="E2" s="9">
        <v>28942835</v>
      </c>
      <c r="F2" s="10">
        <v>22192454</v>
      </c>
      <c r="G2" s="10">
        <v>16706204</v>
      </c>
      <c r="H2" s="10">
        <v>12659517</v>
      </c>
      <c r="I2" s="11">
        <v>9800646</v>
      </c>
      <c r="J2" s="10">
        <v>8328888</v>
      </c>
    </row>
    <row r="3" spans="1:11" ht="15" thickBot="1" x14ac:dyDescent="0.35">
      <c r="A3" s="27" t="s">
        <v>3</v>
      </c>
      <c r="B3" s="1">
        <v>28942835</v>
      </c>
      <c r="D3" s="37" t="s">
        <v>7</v>
      </c>
      <c r="E3" s="24">
        <f>E2/F2-1</f>
        <v>0.30417460817987951</v>
      </c>
      <c r="F3" s="3">
        <f t="shared" ref="F3:G3" si="0">F2/G2-1</f>
        <v>0.32839596595372589</v>
      </c>
      <c r="G3" s="3">
        <f t="shared" si="0"/>
        <v>0.31965571830268091</v>
      </c>
      <c r="H3" s="3">
        <f>H2/I2-1</f>
        <v>0.29170230207274095</v>
      </c>
      <c r="I3" s="3">
        <f>I2/J2-1</f>
        <v>0.17670522163342817</v>
      </c>
      <c r="J3" s="3"/>
    </row>
    <row r="4" spans="1:11" ht="15" thickBot="1" x14ac:dyDescent="0.35">
      <c r="A4" s="27" t="s">
        <v>0</v>
      </c>
      <c r="B4" s="2">
        <v>0.27050000000000002</v>
      </c>
      <c r="D4" s="38" t="s">
        <v>8</v>
      </c>
      <c r="E4" s="25">
        <f>AVERAGE(E3:I3)</f>
        <v>0.28412676322849106</v>
      </c>
      <c r="F4" s="5"/>
      <c r="G4" s="5"/>
      <c r="H4" s="5"/>
      <c r="I4" s="26"/>
      <c r="J4" s="5"/>
    </row>
    <row r="5" spans="1:11" x14ac:dyDescent="0.3">
      <c r="A5" s="27" t="s">
        <v>4</v>
      </c>
      <c r="B5" s="51">
        <v>0.05</v>
      </c>
    </row>
    <row r="6" spans="1:11" ht="15" thickBot="1" x14ac:dyDescent="0.35">
      <c r="A6" s="27" t="s">
        <v>5</v>
      </c>
      <c r="B6" s="4">
        <v>0.05</v>
      </c>
    </row>
    <row r="7" spans="1:11" ht="15" thickBot="1" x14ac:dyDescent="0.35">
      <c r="A7" s="28" t="s">
        <v>6</v>
      </c>
      <c r="B7" s="29">
        <f>($B$4*$B$3)/($B$3+$B$2)+($B$2*$B$5*(1-$B$6))/($B$3+$B$2)</f>
        <v>0.18231835367571725</v>
      </c>
    </row>
    <row r="8" spans="1:11" ht="26.4" customHeight="1" x14ac:dyDescent="0.3"/>
    <row r="9" spans="1:11" ht="15" thickBot="1" x14ac:dyDescent="0.35"/>
    <row r="10" spans="1:11" ht="15" thickBot="1" x14ac:dyDescent="0.35">
      <c r="D10" s="32" t="s">
        <v>14</v>
      </c>
      <c r="E10" s="33"/>
      <c r="F10" s="33"/>
      <c r="G10" s="33"/>
      <c r="H10" s="33"/>
      <c r="I10" s="33"/>
      <c r="J10" s="34"/>
    </row>
    <row r="11" spans="1:11" ht="15" thickBot="1" x14ac:dyDescent="0.35">
      <c r="A11" s="50"/>
      <c r="D11" s="35" t="s">
        <v>15</v>
      </c>
      <c r="E11" s="47" t="s">
        <v>12</v>
      </c>
      <c r="F11" s="6">
        <f>I3</f>
        <v>0.17670522163342817</v>
      </c>
      <c r="G11" s="6">
        <f>H3</f>
        <v>0.29170230207274095</v>
      </c>
      <c r="H11" s="6">
        <f>G3</f>
        <v>0.31965571830268091</v>
      </c>
      <c r="I11" s="6">
        <f>F3</f>
        <v>0.32839596595372589</v>
      </c>
      <c r="J11" s="15">
        <f>E3</f>
        <v>0.30417460817987951</v>
      </c>
    </row>
    <row r="12" spans="1:11" ht="15" thickBot="1" x14ac:dyDescent="0.35">
      <c r="D12" s="36"/>
      <c r="E12" s="46" t="s">
        <v>24</v>
      </c>
      <c r="F12" s="44">
        <v>1</v>
      </c>
      <c r="G12" s="44">
        <v>2</v>
      </c>
      <c r="H12" s="44">
        <v>3</v>
      </c>
      <c r="I12" s="44">
        <v>4</v>
      </c>
      <c r="J12" s="45">
        <v>5</v>
      </c>
      <c r="K12" s="7"/>
    </row>
    <row r="13" spans="1:11" ht="28.2" customHeight="1" x14ac:dyDescent="0.3">
      <c r="D13" s="12" t="s">
        <v>11</v>
      </c>
      <c r="E13" s="52">
        <v>6753160.3700000001</v>
      </c>
      <c r="F13" s="18">
        <f>E13*(1+F11)</f>
        <v>7946479.0699069342</v>
      </c>
      <c r="G13" s="18">
        <f>F13*(1+G11)</f>
        <v>10264485.30797164</v>
      </c>
      <c r="H13" s="18">
        <f t="shared" ref="H13:J13" si="1">G13*(1+H11)</f>
        <v>13545586.73209863</v>
      </c>
      <c r="I13" s="18">
        <f t="shared" si="1"/>
        <v>17993902.771396134</v>
      </c>
      <c r="J13" s="18">
        <f t="shared" si="1"/>
        <v>23467191.0965124</v>
      </c>
    </row>
    <row r="14" spans="1:11" ht="28.2" customHeight="1" x14ac:dyDescent="0.3">
      <c r="D14" s="13" t="s">
        <v>9</v>
      </c>
      <c r="E14" s="52">
        <v>895218</v>
      </c>
      <c r="F14" s="18">
        <f>$E$14</f>
        <v>895218</v>
      </c>
      <c r="G14" s="18">
        <f>$E$14</f>
        <v>895218</v>
      </c>
      <c r="H14" s="18">
        <f>$E$14/2</f>
        <v>447609</v>
      </c>
      <c r="I14" s="18">
        <f t="shared" ref="I14:J14" si="2">$E$14/2</f>
        <v>447609</v>
      </c>
      <c r="J14" s="18">
        <f t="shared" si="2"/>
        <v>447609</v>
      </c>
    </row>
    <row r="15" spans="1:11" ht="28.2" customHeight="1" thickBot="1" x14ac:dyDescent="0.35">
      <c r="D15" s="12" t="s">
        <v>10</v>
      </c>
      <c r="E15" s="52">
        <v>188500</v>
      </c>
      <c r="F15" s="18">
        <f>E15*(1.05)</f>
        <v>197925</v>
      </c>
      <c r="G15" s="18">
        <f t="shared" ref="G15:J15" si="3">F15*(1.05)</f>
        <v>207821.25</v>
      </c>
      <c r="H15" s="18">
        <f t="shared" si="3"/>
        <v>218212.3125</v>
      </c>
      <c r="I15" s="18">
        <f t="shared" si="3"/>
        <v>229122.92812500001</v>
      </c>
      <c r="J15" s="18">
        <f t="shared" si="3"/>
        <v>240579.07453125002</v>
      </c>
    </row>
    <row r="16" spans="1:11" ht="28.2" customHeight="1" thickBot="1" x14ac:dyDescent="0.35">
      <c r="D16" s="14" t="s">
        <v>13</v>
      </c>
      <c r="E16" s="53">
        <f>SUM(E13:E15)</f>
        <v>7836878.3700000001</v>
      </c>
      <c r="F16" s="53">
        <f>SUM(F13:F15)</f>
        <v>9039622.0699069351</v>
      </c>
      <c r="G16" s="53">
        <f t="shared" ref="G16:J16" si="4">SUM(G13:G15)</f>
        <v>11367524.55797164</v>
      </c>
      <c r="H16" s="53">
        <f t="shared" si="4"/>
        <v>14211408.04459863</v>
      </c>
      <c r="I16" s="53">
        <f t="shared" si="4"/>
        <v>18670634.699521136</v>
      </c>
      <c r="J16" s="53">
        <f t="shared" si="4"/>
        <v>24155379.171043649</v>
      </c>
    </row>
    <row r="17" spans="4:9" x14ac:dyDescent="0.3">
      <c r="D17" s="16" t="s">
        <v>16</v>
      </c>
      <c r="E17" s="17">
        <f>NPV($B$7,$F$16:$J$16)</f>
        <v>44386608.992327414</v>
      </c>
    </row>
    <row r="18" spans="4:9" x14ac:dyDescent="0.3">
      <c r="D18" s="12" t="s">
        <v>17</v>
      </c>
      <c r="E18" s="18">
        <f>$J$16/$B$7</f>
        <v>132490112.39980757</v>
      </c>
    </row>
    <row r="19" spans="4:9" ht="15" thickBot="1" x14ac:dyDescent="0.35">
      <c r="D19" s="14" t="s">
        <v>18</v>
      </c>
      <c r="E19" s="19">
        <f>$E$18/(1+$B$7)^$J$12</f>
        <v>57347080.289163023</v>
      </c>
    </row>
    <row r="20" spans="4:9" ht="15" thickBot="1" x14ac:dyDescent="0.35"/>
    <row r="21" spans="4:9" ht="15" thickBot="1" x14ac:dyDescent="0.35">
      <c r="D21" s="42" t="s">
        <v>21</v>
      </c>
      <c r="E21" s="43"/>
    </row>
    <row r="22" spans="4:9" x14ac:dyDescent="0.3">
      <c r="D22" s="20" t="s">
        <v>19</v>
      </c>
      <c r="E22" s="17">
        <f>E17</f>
        <v>44386608.992327414</v>
      </c>
    </row>
    <row r="23" spans="4:9" ht="15" thickBot="1" x14ac:dyDescent="0.35">
      <c r="D23" s="21" t="s">
        <v>20</v>
      </c>
      <c r="E23" s="18">
        <f>E19</f>
        <v>57347080.289163023</v>
      </c>
    </row>
    <row r="24" spans="4:9" ht="15" thickBot="1" x14ac:dyDescent="0.35">
      <c r="D24" s="22" t="s">
        <v>21</v>
      </c>
      <c r="E24" s="23">
        <f>E23+E22</f>
        <v>101733689.28149045</v>
      </c>
      <c r="F24" s="49"/>
    </row>
    <row r="25" spans="4:9" ht="15" thickBot="1" x14ac:dyDescent="0.35">
      <c r="D25" s="21" t="s">
        <v>22</v>
      </c>
      <c r="E25" s="18">
        <f>-$B$2</f>
        <v>-18930856</v>
      </c>
      <c r="F25" s="49"/>
    </row>
    <row r="26" spans="4:9" ht="15" thickBot="1" x14ac:dyDescent="0.35">
      <c r="D26" s="22" t="s">
        <v>23</v>
      </c>
      <c r="E26" s="23">
        <f>E24+E25</f>
        <v>82802833.281490445</v>
      </c>
      <c r="F26" s="49"/>
    </row>
    <row r="27" spans="4:9" ht="15" thickBot="1" x14ac:dyDescent="0.35">
      <c r="F27" s="49"/>
    </row>
    <row r="28" spans="4:9" ht="15" thickBot="1" x14ac:dyDescent="0.35">
      <c r="D28" s="48"/>
      <c r="E28" s="48"/>
      <c r="F28" s="48"/>
      <c r="G28" s="48"/>
      <c r="H28" s="48"/>
      <c r="I28" s="7"/>
    </row>
    <row r="29" spans="4:9" ht="15" thickBot="1" x14ac:dyDescent="0.35">
      <c r="D29" s="48"/>
      <c r="E29" s="48"/>
      <c r="F29" s="48"/>
      <c r="G29" s="48"/>
      <c r="H29" s="48"/>
      <c r="I29" s="7"/>
    </row>
    <row r="30" spans="4:9" ht="15" thickBot="1" x14ac:dyDescent="0.35">
      <c r="D30" s="48"/>
      <c r="E30" s="48"/>
      <c r="F30" s="48"/>
      <c r="G30" s="48"/>
      <c r="H30" s="48"/>
      <c r="I30" s="7"/>
    </row>
    <row r="31" spans="4:9" ht="15" thickBot="1" x14ac:dyDescent="0.35">
      <c r="D31" s="48"/>
      <c r="E31" s="48"/>
      <c r="F31" s="48"/>
      <c r="G31" s="48"/>
      <c r="H31" s="48"/>
      <c r="I31" s="7"/>
    </row>
  </sheetData>
  <mergeCells count="4">
    <mergeCell ref="A1:B1"/>
    <mergeCell ref="D10:J10"/>
    <mergeCell ref="D11:D12"/>
    <mergeCell ref="D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Jeremy Yoel Troc Mitchell</cp:lastModifiedBy>
  <dcterms:created xsi:type="dcterms:W3CDTF">2015-06-05T18:19:34Z</dcterms:created>
  <dcterms:modified xsi:type="dcterms:W3CDTF">2025-11-29T23:13:21Z</dcterms:modified>
</cp:coreProperties>
</file>